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8ecc5c62deaf9b7/1 - MIHA/1 - FAKS/1. letnik/RP/racunalniski-praktikum/excel/"/>
    </mc:Choice>
  </mc:AlternateContent>
  <xr:revisionPtr revIDLastSave="117" documentId="13_ncr:1_{30CFF31F-8871-2C47-ABE9-A8148D29A681}" xr6:coauthVersionLast="47" xr6:coauthVersionMax="47" xr10:uidLastSave="{9E3103AE-AF15-46EC-A288-E8F73100B43D}"/>
  <bookViews>
    <workbookView xWindow="-108" yWindow="-108" windowWidth="23256" windowHeight="12456" xr2:uid="{00000000-000D-0000-FFFF-FFFF00000000}"/>
  </bookViews>
  <sheets>
    <sheet name="Rezulta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9" i="1"/>
  <c r="L8" i="1"/>
  <c r="K8" i="1"/>
  <c r="K10" i="1"/>
  <c r="K9" i="1"/>
  <c r="J8" i="1"/>
  <c r="J10" i="1"/>
  <c r="J9" i="1"/>
  <c r="J3" i="1"/>
  <c r="I10" i="1"/>
  <c r="I9" i="1"/>
  <c r="I8" i="1"/>
  <c r="I3" i="1"/>
  <c r="J5" i="1"/>
  <c r="J4" i="1"/>
  <c r="I5" i="1"/>
  <c r="I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sharedStrings.xml><?xml version="1.0" encoding="utf-8"?>
<sst xmlns="http://schemas.openxmlformats.org/spreadsheetml/2006/main" count="104" uniqueCount="68">
  <si>
    <t>Priimek</t>
  </si>
  <si>
    <t>Ime</t>
  </si>
  <si>
    <t>Skupina</t>
  </si>
  <si>
    <t>Točke</t>
  </si>
  <si>
    <t>Opravil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</si>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</sst>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63377788628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</cellXfs>
  <cellStyles count="42">
    <cellStyle name="20 % – Poudarek1" xfId="19" builtinId="30" customBuiltin="1"/>
    <cellStyle name="20 % – Poudarek2" xfId="23" builtinId="34" customBuiltin="1"/>
    <cellStyle name="20 % – Poudarek3" xfId="27" builtinId="38" customBuiltin="1"/>
    <cellStyle name="20 % – Poudarek4" xfId="31" builtinId="42" customBuiltin="1"/>
    <cellStyle name="20 % – Poudarek5" xfId="35" builtinId="46" customBuiltin="1"/>
    <cellStyle name="20 % – Poudarek6" xfId="39" builtinId="50" customBuiltin="1"/>
    <cellStyle name="40 % – Poudarek1" xfId="20" builtinId="31" customBuiltin="1"/>
    <cellStyle name="40 % – Poudarek2" xfId="24" builtinId="35" customBuiltin="1"/>
    <cellStyle name="40 % – Poudarek3" xfId="28" builtinId="39" customBuiltin="1"/>
    <cellStyle name="40 % – Poudarek4" xfId="32" builtinId="43" customBuiltin="1"/>
    <cellStyle name="40 % – Poudarek5" xfId="36" builtinId="47" customBuiltin="1"/>
    <cellStyle name="40 % – Poudarek6" xfId="40" builtinId="51" customBuiltin="1"/>
    <cellStyle name="60 % – Poudarek1" xfId="21" builtinId="32" customBuiltin="1"/>
    <cellStyle name="60 % – Poudarek2" xfId="25" builtinId="36" customBuiltin="1"/>
    <cellStyle name="60 % – Poudarek3" xfId="29" builtinId="40" customBuiltin="1"/>
    <cellStyle name="60 % – Poudarek4" xfId="33" builtinId="44" customBuiltin="1"/>
    <cellStyle name="60 % – Poudarek5" xfId="37" builtinId="48" customBuiltin="1"/>
    <cellStyle name="60 % – Poudarek6" xfId="41" builtinId="52" customBuiltin="1"/>
    <cellStyle name="Dobro" xfId="6" builtinId="26" customBuiltin="1"/>
    <cellStyle name="Izhod" xfId="10" builtinId="21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avadno" xfId="0" builtinId="0"/>
    <cellStyle name="Nevtralno" xfId="8" builtinId="28" customBuiltin="1"/>
    <cellStyle name="Opomba" xfId="15" builtinId="10" customBuiltin="1"/>
    <cellStyle name="Opozorilo" xfId="14" builtinId="11" customBuiltin="1"/>
    <cellStyle name="Pojasnjevalno besedilo" xfId="16" builtinId="53" customBuiltin="1"/>
    <cellStyle name="Poudarek1" xfId="18" builtinId="29" customBuiltin="1"/>
    <cellStyle name="Poudarek2" xfId="22" builtinId="33" customBuiltin="1"/>
    <cellStyle name="Poudarek3" xfId="26" builtinId="37" customBuiltin="1"/>
    <cellStyle name="Poudarek4" xfId="30" builtinId="41" customBuiltin="1"/>
    <cellStyle name="Poudarek5" xfId="34" builtinId="45" customBuiltin="1"/>
    <cellStyle name="Poudarek6" xfId="38" builtinId="49" customBuiltin="1"/>
    <cellStyle name="Povezana celica" xfId="12" builtinId="24" customBuiltin="1"/>
    <cellStyle name="Preveri celico" xfId="13" builtinId="23" customBuiltin="1"/>
    <cellStyle name="Računanje" xfId="11" builtinId="22" customBuiltin="1"/>
    <cellStyle name="Slabo" xfId="7" builtinId="27" customBuiltin="1"/>
    <cellStyle name="Vnos" xfId="9" builtinId="20" customBuiltin="1"/>
    <cellStyle name="Vsota" xfId="17" builtinId="25" customBuiltin="1"/>
  </cellStyles>
  <dxfs count="13">
    <dxf>
      <font>
        <color rgb="FFC00000"/>
      </font>
    </dxf>
    <dxf>
      <font>
        <color rgb="FFC00000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'Rezultati'!$I$7</c:f>
              <c:strCache>
                <c:ptCount val="1"/>
                <c:pt idx="0">
                  <c:v>Udeležba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B28-4E0D-A03B-FEDD4DABD704}"/>
              </c:ext>
            </c:extLst>
          </c:dPt>
          <c:dPt>
            <c:idx val="1"/>
            <c:bubble3D val="0"/>
            <c:explosion val="4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B28-4E0D-A03B-FEDD4DABD7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B28-4E0D-A03B-FEDD4DABD704}"/>
              </c:ext>
            </c:extLst>
          </c:dPt>
          <c:dLbls>
            <c:dLbl>
              <c:idx val="0"/>
              <c:layout>
                <c:manualLayout>
                  <c:x val="-3.1012685914260717E-3"/>
                  <c:y val="-8.944225721784776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28-4E0D-A03B-FEDD4DABD704}"/>
                </c:ext>
              </c:extLst>
            </c:dLbl>
            <c:dLbl>
              <c:idx val="1"/>
              <c:layout>
                <c:manualLayout>
                  <c:x val="-0.14170898950131236"/>
                  <c:y val="-3.856645523476240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SI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222222222222203E-2"/>
                      <c:h val="0.134189997083697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B28-4E0D-A03B-FEDD4DABD704}"/>
                </c:ext>
              </c:extLst>
            </c:dLbl>
            <c:dLbl>
              <c:idx val="2"/>
              <c:layout>
                <c:manualLayout>
                  <c:x val="-3.9305336832895887E-2"/>
                  <c:y val="-8.40707932341790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28-4E0D-A03B-FEDD4DABD7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'Rezultati'!$H$8:$H$10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'Rezultati'!$I$8:$I$10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8-4E0D-A03B-FEDD4DABD70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8961439195100624"/>
          <c:y val="0.33391149023038791"/>
          <c:w val="8.7437664041994753E-2"/>
          <c:h val="0.40682925051035285"/>
        </c:manualLayout>
      </c:layout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Število</a:t>
            </a:r>
            <a:r>
              <a:rPr lang="en-US" baseline="0"/>
              <a:t> točk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>
        <c:manualLayout>
          <c:layoutTarget val="inner"/>
          <c:xMode val="edge"/>
          <c:yMode val="edge"/>
          <c:x val="0.21380314960629923"/>
          <c:y val="0.17171296296296296"/>
          <c:w val="0.65841907261592314"/>
          <c:h val="0.61498432487605714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General</c:formatCode>
                <c:ptCount val="3"/>
                <c:pt idx="0">
                  <c:v>58.22</c:v>
                </c:pt>
                <c:pt idx="1">
                  <c:v>66.5</c:v>
                </c:pt>
                <c:pt idx="2">
                  <c:v>47.71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7-4F7A-97C9-ED5CE04A88D7}"/>
            </c:ext>
          </c:extLst>
        </c:ser>
        <c:ser>
          <c:idx val="2"/>
          <c:order val="2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C7-4F7A-97C9-ED5CE04A8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0202976"/>
        <c:axId val="19102015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'Rezultati'!$I$2</c15:sqref>
                        </c15:formulaRef>
                      </c:ext>
                    </c:extLst>
                    <c:strCache>
                      <c:ptCount val="1"/>
                      <c:pt idx="0">
                        <c:v>Udeležba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'Rezultati'!$H$3:$H$5</c15:sqref>
                        </c15:formulaRef>
                      </c:ext>
                    </c:extLst>
                    <c:strCache>
                      <c:ptCount val="3"/>
                      <c:pt idx="0">
                        <c:v>A</c:v>
                      </c:pt>
                      <c:pt idx="1">
                        <c:v>B</c:v>
                      </c:pt>
                      <c:pt idx="2">
                        <c:v>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'Rezultati'!$I$3:$I$5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</c:v>
                      </c:pt>
                      <c:pt idx="1">
                        <c:v>12</c:v>
                      </c:pt>
                      <c:pt idx="2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0C7-4F7A-97C9-ED5CE04A88D7}"/>
                  </c:ext>
                </c:extLst>
              </c15:ser>
            </c15:filteredBarSeries>
          </c:ext>
        </c:extLst>
      </c:barChart>
      <c:catAx>
        <c:axId val="191020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Skupina</a:t>
                </a:r>
              </a:p>
            </c:rich>
          </c:tx>
          <c:layout>
            <c:manualLayout>
              <c:xMode val="edge"/>
              <c:yMode val="edge"/>
              <c:x val="0.45135979877515309"/>
              <c:y val="0.875578156897054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910201536"/>
        <c:crosses val="autoZero"/>
        <c:auto val="1"/>
        <c:lblAlgn val="ctr"/>
        <c:lblOffset val="100"/>
        <c:noMultiLvlLbl val="0"/>
      </c:catAx>
      <c:valAx>
        <c:axId val="19102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91020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53740157480321"/>
          <c:y val="0.44060112277631952"/>
          <c:w val="9.4795931758530183E-2"/>
          <c:h val="0.160880723242927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11</xdr:row>
      <xdr:rowOff>121920</xdr:rowOff>
    </xdr:from>
    <xdr:to>
      <xdr:col>12</xdr:col>
      <xdr:colOff>388620</xdr:colOff>
      <xdr:row>23</xdr:row>
      <xdr:rowOff>11430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FB0C2E90-C6C1-D960-F49E-877ADBAE6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24</xdr:row>
      <xdr:rowOff>49530</xdr:rowOff>
    </xdr:from>
    <xdr:to>
      <xdr:col>13</xdr:col>
      <xdr:colOff>312420</xdr:colOff>
      <xdr:row>39</xdr:row>
      <xdr:rowOff>49530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0C41653E-3154-BD4E-7FBD-1D07062C0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 dataDxfId="7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 dataDxfId="12"/>
    <tableColumn id="2" xr3:uid="{1516B636-A66A-2F4C-90DA-D664D3A1EBF9}" name="Ime" dataDxfId="11"/>
    <tableColumn id="3" xr3:uid="{4228D6B7-8EB4-0245-B28A-8C1E7596D7AA}" name="Skupina" dataDxfId="10"/>
    <tableColumn id="4" xr3:uid="{D7BCD06B-AAB1-E14C-9780-EB9AFE9CDDAF}" name="Točke" dataDxfId="9"/>
    <tableColumn id="5" xr3:uid="{A572DA5B-37ED-FF49-A08A-839E55F45206}" name="Opravil" dataDxfId="8">
      <calculatedColumnFormula>IF(Rezultati[[#This Row],[Točke]]&gt;50,"da","ne")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 dataDxfId="2">
  <autoFilter ref="H2:K5" xr:uid="{BAD53C94-4DD0-B043-8002-9273766F5DC7}"/>
  <tableColumns count="4">
    <tableColumn id="1" xr3:uid="{26F1C940-A3E1-AA4A-B91A-EA859D7A62AD}" name="Skupina" dataDxfId="6"/>
    <tableColumn id="2" xr3:uid="{EA7356A2-0D38-5D42-A1AC-E30DC5D5C796}" name="Udeležba" dataDxfId="5">
      <calculatedColumnFormula>COUNTIF(Rezultati[Skupina],"A")</calculatedColumnFormula>
    </tableColumn>
    <tableColumn id="3" xr3:uid="{49F9352C-9597-4E44-8122-AF1CE6CE856F}" name="2022" dataDxfId="4">
      <calculatedColumnFormula>TRUNC((AVERAGEIF(Rezultati[Skupina],"A",$E$3:$E$30)),2)</calculatedColumnFormula>
    </tableColumn>
    <tableColumn id="4" xr3:uid="{B0EFA30B-7FCE-C547-8EC0-FF89353D2666}" name="2021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zoomScaleNormal="100" workbookViewId="0">
      <selection activeCell="N18" sqref="N18"/>
    </sheetView>
  </sheetViews>
  <sheetFormatPr defaultColWidth="8.77734375" defaultRowHeight="14.4" x14ac:dyDescent="0.3"/>
  <cols>
    <col min="1" max="1" width="4.44140625" customWidth="1"/>
    <col min="2" max="2" width="10" bestFit="1" customWidth="1"/>
    <col min="3" max="3" width="9.33203125" bestFit="1" customWidth="1"/>
    <col min="4" max="4" width="9.6640625" bestFit="1" customWidth="1"/>
    <col min="5" max="5" width="8.109375" bestFit="1" customWidth="1"/>
    <col min="6" max="6" width="9.109375" bestFit="1" customWidth="1"/>
    <col min="7" max="7" width="9.109375" customWidth="1"/>
    <col min="8" max="8" width="11.33203125" customWidth="1"/>
    <col min="9" max="9" width="10.77734375" bestFit="1" customWidth="1"/>
    <col min="10" max="10" width="11.109375" bestFit="1" customWidth="1"/>
    <col min="11" max="11" width="10.33203125" customWidth="1"/>
    <col min="12" max="12" width="10.21875" customWidth="1"/>
  </cols>
  <sheetData>
    <row r="2" spans="2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</v>
      </c>
      <c r="I2" t="s">
        <v>5</v>
      </c>
      <c r="J2" t="s">
        <v>64</v>
      </c>
      <c r="K2" t="s">
        <v>63</v>
      </c>
    </row>
    <row r="3" spans="2:12" x14ac:dyDescent="0.3">
      <c r="B3" s="1" t="s">
        <v>61</v>
      </c>
      <c r="C3" s="1" t="s">
        <v>62</v>
      </c>
      <c r="D3" s="1" t="s">
        <v>11</v>
      </c>
      <c r="E3" s="1">
        <v>38</v>
      </c>
      <c r="F3" s="1" t="str">
        <f>IF(Rezultati[[#This Row],[Točke]]&gt;50,"da","ne")</f>
        <v>ne</v>
      </c>
      <c r="H3" s="1" t="s">
        <v>8</v>
      </c>
      <c r="I3" s="1">
        <f>(COUNTIF(Rezultati[Skupina],"A"))</f>
        <v>9</v>
      </c>
      <c r="J3" s="1">
        <f>TRUNC((AVERAGEIF(Rezultati[Skupina],"A",$E$3:$E$30)),2)</f>
        <v>58.22</v>
      </c>
      <c r="K3" s="1">
        <v>66.84</v>
      </c>
    </row>
    <row r="4" spans="2:12" x14ac:dyDescent="0.3">
      <c r="B4" s="1" t="s">
        <v>33</v>
      </c>
      <c r="C4" s="1" t="s">
        <v>34</v>
      </c>
      <c r="D4" s="1" t="s">
        <v>11</v>
      </c>
      <c r="E4" s="1">
        <v>39</v>
      </c>
      <c r="F4" s="1" t="str">
        <f>IF(Rezultati[[#This Row],[Točke]]&gt;50,"da","ne")</f>
        <v>ne</v>
      </c>
      <c r="H4" s="1" t="s">
        <v>11</v>
      </c>
      <c r="I4" s="1">
        <f>COUNTIF(Rezultati[Skupina],"B")</f>
        <v>12</v>
      </c>
      <c r="J4" s="1">
        <f>TRUNC((AVERAGEIF(Rezultati[Skupina],"B",$E$3:$E$30)),2)</f>
        <v>66.5</v>
      </c>
      <c r="K4" s="1">
        <v>52.35</v>
      </c>
    </row>
    <row r="5" spans="2:12" x14ac:dyDescent="0.3">
      <c r="B5" s="1" t="s">
        <v>6</v>
      </c>
      <c r="C5" s="1" t="s">
        <v>35</v>
      </c>
      <c r="D5" s="1" t="s">
        <v>11</v>
      </c>
      <c r="E5" s="1">
        <v>36</v>
      </c>
      <c r="F5" s="1" t="str">
        <f>IF(Rezultati[[#This Row],[Točke]]&gt;50,"da","ne")</f>
        <v>ne</v>
      </c>
      <c r="H5" s="1" t="s">
        <v>14</v>
      </c>
      <c r="I5" s="1">
        <f>COUNTIF(Rezultati[Skupina],"C")</f>
        <v>7</v>
      </c>
      <c r="J5" s="1">
        <f>TRUNC((AVERAGEIF(Rezultati[Skupina],"C",$E$3:$E$30)),2)</f>
        <v>47.71</v>
      </c>
      <c r="K5" s="1">
        <v>49.66</v>
      </c>
    </row>
    <row r="6" spans="2:12" x14ac:dyDescent="0.3">
      <c r="B6" s="1" t="s">
        <v>6</v>
      </c>
      <c r="C6" s="1" t="s">
        <v>7</v>
      </c>
      <c r="D6" s="1" t="s">
        <v>8</v>
      </c>
      <c r="E6" s="1">
        <v>93</v>
      </c>
      <c r="F6" s="1" t="str">
        <f>IF(Rezultati[[#This Row],[Točke]]&gt;50,"da","ne")</f>
        <v>da</v>
      </c>
    </row>
    <row r="7" spans="2:12" x14ac:dyDescent="0.3">
      <c r="B7" s="1" t="s">
        <v>36</v>
      </c>
      <c r="C7" s="1" t="s">
        <v>37</v>
      </c>
      <c r="D7" s="1" t="s">
        <v>8</v>
      </c>
      <c r="E7" s="1">
        <v>77</v>
      </c>
      <c r="F7" s="1" t="str">
        <f>IF(Rezultati[[#This Row],[Točke]]&gt;50,"da","ne")</f>
        <v>da</v>
      </c>
      <c r="H7" s="2" t="s">
        <v>2</v>
      </c>
      <c r="I7" s="2" t="s">
        <v>5</v>
      </c>
      <c r="J7" s="2" t="s">
        <v>65</v>
      </c>
      <c r="K7" s="2" t="s">
        <v>66</v>
      </c>
      <c r="L7" s="2" t="s">
        <v>67</v>
      </c>
    </row>
    <row r="8" spans="2:12" x14ac:dyDescent="0.3">
      <c r="B8" s="1" t="s">
        <v>38</v>
      </c>
      <c r="C8" s="1" t="s">
        <v>39</v>
      </c>
      <c r="D8" s="1" t="s">
        <v>11</v>
      </c>
      <c r="E8" s="1">
        <v>100</v>
      </c>
      <c r="F8" s="1" t="str">
        <f>IF(Rezultati[[#This Row],[Točke]]&gt;50,"da","ne")</f>
        <v>da</v>
      </c>
      <c r="H8" t="s">
        <v>8</v>
      </c>
      <c r="I8">
        <f>(COUNTIF(Rezultati[Skupina],"A"))</f>
        <v>9</v>
      </c>
      <c r="J8">
        <f>TRUNC((AVERAGEIF(Rezultati[Skupina],"A",$E$3:$E$30)),2)</f>
        <v>58.22</v>
      </c>
      <c r="K8">
        <f>_xlfn.MAXIFS(Rezultati[Točke],Rezultati[Skupina],"A")</f>
        <v>94</v>
      </c>
      <c r="L8">
        <f>_xlfn.MINIFS(Rezultati[Točke],Rezultati[Skupina],"A")</f>
        <v>34</v>
      </c>
    </row>
    <row r="9" spans="2:12" x14ac:dyDescent="0.3">
      <c r="B9" s="1" t="s">
        <v>9</v>
      </c>
      <c r="C9" s="1" t="s">
        <v>10</v>
      </c>
      <c r="D9" s="1" t="s">
        <v>8</v>
      </c>
      <c r="E9" s="1">
        <v>94</v>
      </c>
      <c r="F9" s="1" t="str">
        <f>IF(Rezultati[[#This Row],[Točke]]&gt;50,"da","ne")</f>
        <v>da</v>
      </c>
      <c r="H9" t="s">
        <v>11</v>
      </c>
      <c r="I9">
        <f>(COUNTIF(Rezultati[Skupina],"B"))</f>
        <v>12</v>
      </c>
      <c r="J9">
        <f>TRUNC((AVERAGEIF(Rezultati[Skupina],"B",$E$3:$E$30)),2)</f>
        <v>66.5</v>
      </c>
      <c r="K9">
        <f>_xlfn.MAXIFS(Rezultati[Točke],Rezultati[Skupina],"B")</f>
        <v>100</v>
      </c>
      <c r="L9">
        <f>_xlfn.MINIFS(Rezultati[Točke],Rezultati[Skupina],"B")</f>
        <v>36</v>
      </c>
    </row>
    <row r="10" spans="2:12" x14ac:dyDescent="0.3">
      <c r="B10" s="1" t="s">
        <v>40</v>
      </c>
      <c r="C10" s="1" t="s">
        <v>41</v>
      </c>
      <c r="D10" s="1" t="s">
        <v>14</v>
      </c>
      <c r="E10" s="1">
        <v>26</v>
      </c>
      <c r="F10" s="1" t="str">
        <f>IF(Rezultati[[#This Row],[Točke]]&gt;50,"da","ne")</f>
        <v>ne</v>
      </c>
      <c r="H10" t="s">
        <v>14</v>
      </c>
      <c r="I10">
        <f>(COUNTIF(Rezultati[Skupina],"C"))</f>
        <v>7</v>
      </c>
      <c r="J10">
        <f>TRUNC((AVERAGEIF(Rezultati[Skupina],"C",$E$3:$E$30)),2)</f>
        <v>47.71</v>
      </c>
      <c r="K10">
        <f>_xlfn.MAXIFS(Rezultati[Točke],Rezultati[Skupina],"C")</f>
        <v>76</v>
      </c>
      <c r="L10">
        <f>_xlfn.MINIFS(Rezultati[Točke],Rezultati[Skupina],"C")</f>
        <v>26</v>
      </c>
    </row>
    <row r="11" spans="2:12" x14ac:dyDescent="0.3">
      <c r="B11" s="1" t="s">
        <v>12</v>
      </c>
      <c r="C11" s="1" t="s">
        <v>13</v>
      </c>
      <c r="D11" s="1" t="s">
        <v>11</v>
      </c>
      <c r="E11" s="1">
        <v>44</v>
      </c>
      <c r="F11" s="1" t="str">
        <f>IF(Rezultati[[#This Row],[Točke]]&gt;50,"da","ne")</f>
        <v>ne</v>
      </c>
    </row>
    <row r="12" spans="2:12" x14ac:dyDescent="0.3">
      <c r="B12" s="1" t="s">
        <v>15</v>
      </c>
      <c r="C12" s="1" t="s">
        <v>16</v>
      </c>
      <c r="D12" s="1" t="s">
        <v>14</v>
      </c>
      <c r="E12" s="1">
        <v>34</v>
      </c>
      <c r="F12" s="1" t="str">
        <f>IF(Rezultati[[#This Row],[Točke]]&gt;50,"da","ne")</f>
        <v>ne</v>
      </c>
    </row>
    <row r="13" spans="2:12" x14ac:dyDescent="0.3">
      <c r="B13" s="1" t="s">
        <v>42</v>
      </c>
      <c r="C13" s="1" t="s">
        <v>43</v>
      </c>
      <c r="D13" s="1" t="s">
        <v>11</v>
      </c>
      <c r="E13" s="1">
        <v>86</v>
      </c>
      <c r="F13" s="1" t="str">
        <f>IF(Rezultati[[#This Row],[Točke]]&gt;50,"da","ne")</f>
        <v>da</v>
      </c>
    </row>
    <row r="14" spans="2:12" x14ac:dyDescent="0.3">
      <c r="B14" s="1" t="s">
        <v>44</v>
      </c>
      <c r="C14" s="1" t="s">
        <v>45</v>
      </c>
      <c r="D14" s="1" t="s">
        <v>11</v>
      </c>
      <c r="E14" s="1">
        <v>90</v>
      </c>
      <c r="F14" s="1" t="str">
        <f>IF(Rezultati[[#This Row],[Točke]]&gt;50,"da","ne")</f>
        <v>da</v>
      </c>
    </row>
    <row r="15" spans="2:12" x14ac:dyDescent="0.3">
      <c r="B15" s="1" t="s">
        <v>17</v>
      </c>
      <c r="C15" s="1" t="s">
        <v>18</v>
      </c>
      <c r="D15" s="1" t="s">
        <v>11</v>
      </c>
      <c r="E15" s="1">
        <v>67</v>
      </c>
      <c r="F15" s="1" t="str">
        <f>IF(Rezultati[[#This Row],[Točke]]&gt;50,"da","ne")</f>
        <v>da</v>
      </c>
    </row>
    <row r="16" spans="2:12" x14ac:dyDescent="0.3">
      <c r="B16" s="1" t="s">
        <v>19</v>
      </c>
      <c r="C16" s="1" t="s">
        <v>20</v>
      </c>
      <c r="D16" s="1" t="s">
        <v>8</v>
      </c>
      <c r="E16" s="1">
        <v>42</v>
      </c>
      <c r="F16" s="1" t="str">
        <f>IF(Rezultati[[#This Row],[Točke]]&gt;50,"da","ne")</f>
        <v>ne</v>
      </c>
    </row>
    <row r="17" spans="2:6" x14ac:dyDescent="0.3">
      <c r="B17" s="1" t="s">
        <v>46</v>
      </c>
      <c r="C17" s="1" t="s">
        <v>47</v>
      </c>
      <c r="D17" s="1" t="s">
        <v>14</v>
      </c>
      <c r="E17" s="1">
        <v>44</v>
      </c>
      <c r="F17" s="1" t="str">
        <f>IF(Rezultati[[#This Row],[Točke]]&gt;50,"da","ne")</f>
        <v>ne</v>
      </c>
    </row>
    <row r="18" spans="2:6" x14ac:dyDescent="0.3">
      <c r="B18" s="1" t="s">
        <v>21</v>
      </c>
      <c r="C18" s="1" t="s">
        <v>22</v>
      </c>
      <c r="D18" s="1" t="s">
        <v>11</v>
      </c>
      <c r="E18" s="1">
        <v>64</v>
      </c>
      <c r="F18" s="1" t="str">
        <f>IF(Rezultati[[#This Row],[Točke]]&gt;50,"da","ne")</f>
        <v>da</v>
      </c>
    </row>
    <row r="19" spans="2:6" x14ac:dyDescent="0.3">
      <c r="B19" s="1" t="s">
        <v>23</v>
      </c>
      <c r="C19" s="1" t="s">
        <v>24</v>
      </c>
      <c r="D19" s="1" t="s">
        <v>14</v>
      </c>
      <c r="E19" s="1">
        <v>30</v>
      </c>
      <c r="F19" s="1" t="str">
        <f>IF(Rezultati[[#This Row],[Točke]]&gt;50,"da","ne")</f>
        <v>ne</v>
      </c>
    </row>
    <row r="20" spans="2:6" x14ac:dyDescent="0.3">
      <c r="B20" s="1" t="s">
        <v>48</v>
      </c>
      <c r="C20" s="1" t="s">
        <v>28</v>
      </c>
      <c r="D20" s="1" t="s">
        <v>8</v>
      </c>
      <c r="E20" s="1">
        <v>57</v>
      </c>
      <c r="F20" s="1" t="str">
        <f>IF(Rezultati[[#This Row],[Točke]]&gt;50,"da","ne")</f>
        <v>da</v>
      </c>
    </row>
    <row r="21" spans="2:6" x14ac:dyDescent="0.3">
      <c r="B21" s="1" t="s">
        <v>49</v>
      </c>
      <c r="C21" s="1" t="s">
        <v>50</v>
      </c>
      <c r="D21" s="1" t="s">
        <v>8</v>
      </c>
      <c r="E21" s="1">
        <v>43</v>
      </c>
      <c r="F21" s="1" t="str">
        <f>IF(Rezultati[[#This Row],[Točke]]&gt;50,"da","ne")</f>
        <v>ne</v>
      </c>
    </row>
    <row r="22" spans="2:6" x14ac:dyDescent="0.3">
      <c r="B22" s="1" t="s">
        <v>59</v>
      </c>
      <c r="C22" s="1" t="s">
        <v>60</v>
      </c>
      <c r="D22" s="1" t="s">
        <v>8</v>
      </c>
      <c r="E22" s="1">
        <v>38</v>
      </c>
      <c r="F22" s="1" t="str">
        <f>IF(Rezultati[[#This Row],[Točke]]&gt;50,"da","ne")</f>
        <v>ne</v>
      </c>
    </row>
    <row r="23" spans="2:6" x14ac:dyDescent="0.3">
      <c r="B23" s="1" t="s">
        <v>51</v>
      </c>
      <c r="C23" s="1" t="s">
        <v>52</v>
      </c>
      <c r="D23" s="1" t="s">
        <v>11</v>
      </c>
      <c r="E23" s="1">
        <v>85</v>
      </c>
      <c r="F23" s="1" t="str">
        <f>IF(Rezultati[[#This Row],[Točke]]&gt;50,"da","ne")</f>
        <v>da</v>
      </c>
    </row>
    <row r="24" spans="2:6" x14ac:dyDescent="0.3">
      <c r="B24" s="1" t="s">
        <v>53</v>
      </c>
      <c r="C24" s="1" t="s">
        <v>54</v>
      </c>
      <c r="D24" s="1" t="s">
        <v>14</v>
      </c>
      <c r="E24" s="1">
        <v>76</v>
      </c>
      <c r="F24" s="1" t="str">
        <f>IF(Rezultati[[#This Row],[Točke]]&gt;50,"da","ne")</f>
        <v>da</v>
      </c>
    </row>
    <row r="25" spans="2:6" x14ac:dyDescent="0.3">
      <c r="B25" s="1" t="s">
        <v>55</v>
      </c>
      <c r="C25" s="1" t="s">
        <v>56</v>
      </c>
      <c r="D25" s="1" t="s">
        <v>8</v>
      </c>
      <c r="E25" s="1">
        <v>34</v>
      </c>
      <c r="F25" s="1" t="str">
        <f>IF(Rezultati[[#This Row],[Točke]]&gt;50,"da","ne")</f>
        <v>ne</v>
      </c>
    </row>
    <row r="26" spans="2:6" x14ac:dyDescent="0.3">
      <c r="B26" s="1" t="s">
        <v>57</v>
      </c>
      <c r="C26" s="1" t="s">
        <v>58</v>
      </c>
      <c r="D26" s="1" t="s">
        <v>11</v>
      </c>
      <c r="E26" s="1">
        <v>79</v>
      </c>
      <c r="F26" s="1" t="str">
        <f>IF(Rezultati[[#This Row],[Točke]]&gt;50,"da","ne")</f>
        <v>da</v>
      </c>
    </row>
    <row r="27" spans="2:6" x14ac:dyDescent="0.3">
      <c r="B27" s="1" t="s">
        <v>25</v>
      </c>
      <c r="C27" s="1" t="s">
        <v>26</v>
      </c>
      <c r="D27" s="1" t="s">
        <v>11</v>
      </c>
      <c r="E27" s="1">
        <v>70</v>
      </c>
      <c r="F27" s="1" t="str">
        <f>IF(Rezultati[[#This Row],[Točke]]&gt;50,"da","ne")</f>
        <v>da</v>
      </c>
    </row>
    <row r="28" spans="2:6" x14ac:dyDescent="0.3">
      <c r="B28" s="1" t="s">
        <v>29</v>
      </c>
      <c r="C28" s="1" t="s">
        <v>30</v>
      </c>
      <c r="D28" s="1" t="s">
        <v>14</v>
      </c>
      <c r="E28" s="1">
        <v>66</v>
      </c>
      <c r="F28" s="1" t="str">
        <f>IF(Rezultati[[#This Row],[Točke]]&gt;50,"da","ne")</f>
        <v>da</v>
      </c>
    </row>
    <row r="29" spans="2:6" x14ac:dyDescent="0.3">
      <c r="B29" s="1" t="s">
        <v>27</v>
      </c>
      <c r="C29" s="1" t="s">
        <v>28</v>
      </c>
      <c r="D29" s="1" t="s">
        <v>14</v>
      </c>
      <c r="E29" s="1">
        <v>58</v>
      </c>
      <c r="F29" s="1" t="str">
        <f>IF(Rezultati[[#This Row],[Točke]]&gt;50,"da","ne")</f>
        <v>da</v>
      </c>
    </row>
    <row r="30" spans="2:6" x14ac:dyDescent="0.3">
      <c r="B30" s="1" t="s">
        <v>31</v>
      </c>
      <c r="C30" s="1" t="s">
        <v>32</v>
      </c>
      <c r="D30" s="1" t="s">
        <v>8</v>
      </c>
      <c r="E30" s="1">
        <v>46</v>
      </c>
      <c r="F30" s="1" t="str">
        <f>IF(Rezultati[[#This Row],[Točke]]&gt;50,"da","ne")</f>
        <v>ne</v>
      </c>
    </row>
  </sheetData>
  <conditionalFormatting sqref="E3:E30">
    <cfRule type="cellIs" dxfId="1" priority="2" operator="between">
      <formula>0</formula>
      <formula>50</formula>
    </cfRule>
  </conditionalFormatting>
  <conditionalFormatting sqref="B3:C30">
    <cfRule type="expression" dxfId="0" priority="1">
      <formula>$E3&lt;50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miha Rucigaj</cp:lastModifiedBy>
  <dcterms:created xsi:type="dcterms:W3CDTF">2007-11-10T02:36:44Z</dcterms:created>
  <dcterms:modified xsi:type="dcterms:W3CDTF">2025-12-10T16:10:07Z</dcterms:modified>
</cp:coreProperties>
</file>