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ecc5c62deaf9b7/1 - MIHA/1 - FAKS/1. letnik/RP/racunalniski-praktikum/excel/"/>
    </mc:Choice>
  </mc:AlternateContent>
  <xr:revisionPtr revIDLastSave="211" documentId="8_{E1D37812-3AC6-4F7B-843A-DC92963CD752}" xr6:coauthVersionLast="47" xr6:coauthVersionMax="47" xr10:uidLastSave="{8E8BB762-7EA5-45A1-9180-03754BDD63AA}"/>
  <bookViews>
    <workbookView xWindow="-108" yWindow="-108" windowWidth="23256" windowHeight="12456" activeTab="3" xr2:uid="{3A33AF93-8227-4FD4-9411-583A50825DDC}"/>
  </bookViews>
  <sheets>
    <sheet name="Obresti" sheetId="4" r:id="rId1"/>
    <sheet name="Barva" sheetId="2" r:id="rId2"/>
    <sheet name="Množenje" sheetId="3" r:id="rId3"/>
    <sheet name="Padavine" sheetId="5" r:id="rId4"/>
  </sheets>
  <definedNames>
    <definedName name="delez1">Padavine!$B$3:$G$3</definedName>
    <definedName name="delez2">Padavine!$B$7:$G$7</definedName>
    <definedName name="padavine1">Padavine!$B$2:$G$2</definedName>
    <definedName name="padavine2">Padavine!$B$6:$G$6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5" l="1"/>
  <c r="D11" i="5"/>
  <c r="D10" i="5"/>
  <c r="C7" i="5"/>
  <c r="D7" i="5"/>
  <c r="E7" i="5"/>
  <c r="F7" i="5"/>
  <c r="G7" i="5"/>
  <c r="B7" i="5"/>
  <c r="B3" i="5"/>
  <c r="C3" i="5"/>
  <c r="D3" i="5"/>
  <c r="E3" i="5"/>
  <c r="F3" i="5"/>
  <c r="G3" i="5"/>
  <c r="D9" i="5"/>
  <c r="B12" i="2"/>
  <c r="B11" i="2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" i="4"/>
</calcChain>
</file>

<file path=xl/sharedStrings.xml><?xml version="1.0" encoding="utf-8"?>
<sst xmlns="http://schemas.openxmlformats.org/spreadsheetml/2006/main" count="33" uniqueCount="30">
  <si>
    <t>Leto</t>
  </si>
  <si>
    <t>Stanje</t>
  </si>
  <si>
    <t>Višina</t>
  </si>
  <si>
    <t>Širina sobe</t>
  </si>
  <si>
    <t>Dolžina sobe</t>
  </si>
  <si>
    <t>Datum:</t>
  </si>
  <si>
    <t>Količina barve za m2</t>
  </si>
  <si>
    <t>Cena barve za kg</t>
  </si>
  <si>
    <t>Površina</t>
  </si>
  <si>
    <t xml:space="preserve">Cena barve  </t>
  </si>
  <si>
    <t>Barvanje sobe</t>
  </si>
  <si>
    <t>Mesec</t>
  </si>
  <si>
    <t>jan</t>
  </si>
  <si>
    <t>feb</t>
  </si>
  <si>
    <t>mar</t>
  </si>
  <si>
    <t>apr</t>
  </si>
  <si>
    <t>maj</t>
  </si>
  <si>
    <t>jun</t>
  </si>
  <si>
    <t>Padavine</t>
  </si>
  <si>
    <t>Delež</t>
  </si>
  <si>
    <t>jul</t>
  </si>
  <si>
    <t>avg</t>
  </si>
  <si>
    <t>sep</t>
  </si>
  <si>
    <t>okt</t>
  </si>
  <si>
    <t>nov</t>
  </si>
  <si>
    <t>dec</t>
  </si>
  <si>
    <t>Letna količina</t>
  </si>
  <si>
    <t>Največja mesečna količina</t>
  </si>
  <si>
    <t>Najmanjša mesečna količina</t>
  </si>
  <si>
    <t>Povprečna mesečna količina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</si>
</sst>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_);[Red]\(#,##0.00\ &quot;€&quot;\)"/>
    <numFmt numFmtId="166" formatCode="0.00&quot;m&quot;"/>
    <numFmt numFmtId="167" formatCode="0.00&quot;%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8" fontId="0" fillId="0" borderId="0" xfId="0" applyNumberFormat="1"/>
    <xf numFmtId="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Padavine!$A$2</c:f>
              <c:strCache>
                <c:ptCount val="1"/>
                <c:pt idx="0">
                  <c:v>Padavine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(Padavine!$B$1:$G$1,Padavine!$B$5:$G$5)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Padavine!$B$2:$G$2</c:f>
              <c:numCache>
                <c:formatCode>General</c:formatCode>
                <c:ptCount val="6"/>
                <c:pt idx="0">
                  <c:v>120</c:v>
                </c:pt>
                <c:pt idx="1">
                  <c:v>45</c:v>
                </c:pt>
                <c:pt idx="2">
                  <c:v>60</c:v>
                </c:pt>
                <c:pt idx="3">
                  <c:v>210</c:v>
                </c:pt>
                <c:pt idx="4">
                  <c:v>160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E-499A-96C4-9A15CAF93AEF}"/>
            </c:ext>
          </c:extLst>
        </c:ser>
        <c:ser>
          <c:idx val="1"/>
          <c:order val="1"/>
          <c:tx>
            <c:strRef>
              <c:f>Padavine!$A$5</c:f>
              <c:strCache>
                <c:ptCount val="1"/>
                <c:pt idx="0">
                  <c:v>Mesec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(Padavine!$B$1:$G$1,Padavine!$B$5:$G$5)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Padavine!$B$5:$G$5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E-499A-96C4-9A15CAF93AEF}"/>
            </c:ext>
          </c:extLst>
        </c:ser>
        <c:ser>
          <c:idx val="2"/>
          <c:order val="2"/>
          <c:tx>
            <c:strRef>
              <c:f>Padavine!$A$6</c:f>
              <c:strCache>
                <c:ptCount val="1"/>
                <c:pt idx="0">
                  <c:v>Padavine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(Padavine!$B$1:$G$1,Padavine!$B$5:$G$5)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maj</c:v>
                </c:pt>
                <c:pt idx="5">
                  <c:v>jun</c:v>
                </c:pt>
                <c:pt idx="6">
                  <c:v>jul</c:v>
                </c:pt>
                <c:pt idx="7">
                  <c:v>avg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Padavine!$B$6:$G$6</c:f>
              <c:numCache>
                <c:formatCode>General</c:formatCode>
                <c:ptCount val="6"/>
                <c:pt idx="0">
                  <c:v>20</c:v>
                </c:pt>
                <c:pt idx="1">
                  <c:v>80</c:v>
                </c:pt>
                <c:pt idx="2">
                  <c:v>100</c:v>
                </c:pt>
                <c:pt idx="3">
                  <c:v>120</c:v>
                </c:pt>
                <c:pt idx="4">
                  <c:v>90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BE-499A-96C4-9A15CAF93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844192"/>
        <c:axId val="1144841312"/>
      </c:barChart>
      <c:catAx>
        <c:axId val="114484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144841312"/>
        <c:crosses val="autoZero"/>
        <c:auto val="1"/>
        <c:lblAlgn val="ctr"/>
        <c:lblOffset val="100"/>
        <c:noMultiLvlLbl val="0"/>
      </c:catAx>
      <c:valAx>
        <c:axId val="114484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14484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5</xdr:row>
      <xdr:rowOff>64770</xdr:rowOff>
    </xdr:from>
    <xdr:to>
      <xdr:col>15</xdr:col>
      <xdr:colOff>160020</xdr:colOff>
      <xdr:row>20</xdr:row>
      <xdr:rowOff>64770</xdr:rowOff>
    </xdr:to>
    <xdr:graphicFrame macro="">
      <xdr:nvGraphicFramePr>
        <xdr:cNvPr id="5" name="Grafikon 4">
          <a:extLst>
            <a:ext uri="{FF2B5EF4-FFF2-40B4-BE49-F238E27FC236}">
              <a16:creationId xmlns:a16="http://schemas.microsoft.com/office/drawing/2014/main" id="{3D87D091-5008-6864-6A8E-6BFCBC969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79D3-9B9A-4510-9263-427CDBC7DA7A}">
  <dimension ref="A1:B37"/>
  <sheetViews>
    <sheetView workbookViewId="0">
      <selection activeCell="E27" sqref="E2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1972</v>
      </c>
      <c r="B2" s="1">
        <v>123.43</v>
      </c>
    </row>
    <row r="3" spans="1:2" x14ac:dyDescent="0.3">
      <c r="A3" s="1">
        <v>1973</v>
      </c>
      <c r="B3" s="1">
        <f>ROUND(SUM(B2*1.0475),2)</f>
        <v>129.29</v>
      </c>
    </row>
    <row r="4" spans="1:2" x14ac:dyDescent="0.3">
      <c r="A4" s="1">
        <v>1974</v>
      </c>
      <c r="B4" s="1">
        <f t="shared" ref="B4:B37" si="0">ROUND(SUM(B3*1.0475),2)</f>
        <v>135.43</v>
      </c>
    </row>
    <row r="5" spans="1:2" x14ac:dyDescent="0.3">
      <c r="A5" s="1">
        <v>1975</v>
      </c>
      <c r="B5" s="1">
        <f t="shared" si="0"/>
        <v>141.86000000000001</v>
      </c>
    </row>
    <row r="6" spans="1:2" x14ac:dyDescent="0.3">
      <c r="A6" s="1">
        <v>1976</v>
      </c>
      <c r="B6" s="1">
        <f t="shared" si="0"/>
        <v>148.6</v>
      </c>
    </row>
    <row r="7" spans="1:2" x14ac:dyDescent="0.3">
      <c r="A7" s="1">
        <v>1977</v>
      </c>
      <c r="B7" s="1">
        <f t="shared" si="0"/>
        <v>155.66</v>
      </c>
    </row>
    <row r="8" spans="1:2" x14ac:dyDescent="0.3">
      <c r="A8" s="1">
        <v>1978</v>
      </c>
      <c r="B8" s="1">
        <f t="shared" si="0"/>
        <v>163.05000000000001</v>
      </c>
    </row>
    <row r="9" spans="1:2" x14ac:dyDescent="0.3">
      <c r="A9" s="1">
        <v>1979</v>
      </c>
      <c r="B9" s="1">
        <f t="shared" si="0"/>
        <v>170.79</v>
      </c>
    </row>
    <row r="10" spans="1:2" x14ac:dyDescent="0.3">
      <c r="A10" s="1">
        <v>1980</v>
      </c>
      <c r="B10" s="1">
        <f t="shared" si="0"/>
        <v>178.9</v>
      </c>
    </row>
    <row r="11" spans="1:2" x14ac:dyDescent="0.3">
      <c r="A11" s="1">
        <v>1981</v>
      </c>
      <c r="B11" s="1">
        <f t="shared" si="0"/>
        <v>187.4</v>
      </c>
    </row>
    <row r="12" spans="1:2" x14ac:dyDescent="0.3">
      <c r="A12" s="1">
        <v>1982</v>
      </c>
      <c r="B12" s="1">
        <f t="shared" si="0"/>
        <v>196.3</v>
      </c>
    </row>
    <row r="13" spans="1:2" x14ac:dyDescent="0.3">
      <c r="A13" s="1">
        <v>1983</v>
      </c>
      <c r="B13" s="1">
        <f t="shared" si="0"/>
        <v>205.62</v>
      </c>
    </row>
    <row r="14" spans="1:2" x14ac:dyDescent="0.3">
      <c r="A14" s="1">
        <v>1984</v>
      </c>
      <c r="B14" s="1">
        <f t="shared" si="0"/>
        <v>215.39</v>
      </c>
    </row>
    <row r="15" spans="1:2" x14ac:dyDescent="0.3">
      <c r="A15" s="1">
        <v>1985</v>
      </c>
      <c r="B15" s="1">
        <f t="shared" si="0"/>
        <v>225.62</v>
      </c>
    </row>
    <row r="16" spans="1:2" x14ac:dyDescent="0.3">
      <c r="A16" s="1">
        <v>1986</v>
      </c>
      <c r="B16" s="1">
        <f t="shared" si="0"/>
        <v>236.34</v>
      </c>
    </row>
    <row r="17" spans="1:2" x14ac:dyDescent="0.3">
      <c r="A17" s="1">
        <v>1987</v>
      </c>
      <c r="B17" s="1">
        <f t="shared" si="0"/>
        <v>247.57</v>
      </c>
    </row>
    <row r="18" spans="1:2" x14ac:dyDescent="0.3">
      <c r="A18" s="1">
        <v>1988</v>
      </c>
      <c r="B18" s="1">
        <f t="shared" si="0"/>
        <v>259.33</v>
      </c>
    </row>
    <row r="19" spans="1:2" x14ac:dyDescent="0.3">
      <c r="A19" s="1">
        <v>1989</v>
      </c>
      <c r="B19" s="1">
        <f t="shared" si="0"/>
        <v>271.64999999999998</v>
      </c>
    </row>
    <row r="20" spans="1:2" x14ac:dyDescent="0.3">
      <c r="A20" s="1">
        <v>1990</v>
      </c>
      <c r="B20" s="1">
        <f t="shared" si="0"/>
        <v>284.55</v>
      </c>
    </row>
    <row r="21" spans="1:2" x14ac:dyDescent="0.3">
      <c r="A21" s="1">
        <v>1991</v>
      </c>
      <c r="B21" s="1">
        <f t="shared" si="0"/>
        <v>298.07</v>
      </c>
    </row>
    <row r="22" spans="1:2" x14ac:dyDescent="0.3">
      <c r="A22" s="1">
        <v>1992</v>
      </c>
      <c r="B22" s="1">
        <f t="shared" si="0"/>
        <v>312.23</v>
      </c>
    </row>
    <row r="23" spans="1:2" x14ac:dyDescent="0.3">
      <c r="A23" s="1">
        <v>1993</v>
      </c>
      <c r="B23" s="1">
        <f t="shared" si="0"/>
        <v>327.06</v>
      </c>
    </row>
    <row r="24" spans="1:2" x14ac:dyDescent="0.3">
      <c r="A24" s="1">
        <v>1994</v>
      </c>
      <c r="B24" s="1">
        <f t="shared" si="0"/>
        <v>342.6</v>
      </c>
    </row>
    <row r="25" spans="1:2" x14ac:dyDescent="0.3">
      <c r="A25" s="1">
        <v>1995</v>
      </c>
      <c r="B25" s="1">
        <f t="shared" si="0"/>
        <v>358.87</v>
      </c>
    </row>
    <row r="26" spans="1:2" x14ac:dyDescent="0.3">
      <c r="A26" s="1">
        <v>1996</v>
      </c>
      <c r="B26" s="1">
        <f t="shared" si="0"/>
        <v>375.92</v>
      </c>
    </row>
    <row r="27" spans="1:2" x14ac:dyDescent="0.3">
      <c r="A27" s="1">
        <v>1997</v>
      </c>
      <c r="B27" s="1">
        <f t="shared" si="0"/>
        <v>393.78</v>
      </c>
    </row>
    <row r="28" spans="1:2" x14ac:dyDescent="0.3">
      <c r="A28" s="1">
        <v>1998</v>
      </c>
      <c r="B28" s="1">
        <f t="shared" si="0"/>
        <v>412.48</v>
      </c>
    </row>
    <row r="29" spans="1:2" x14ac:dyDescent="0.3">
      <c r="A29" s="1">
        <v>1999</v>
      </c>
      <c r="B29" s="1">
        <f t="shared" si="0"/>
        <v>432.07</v>
      </c>
    </row>
    <row r="30" spans="1:2" x14ac:dyDescent="0.3">
      <c r="A30" s="1">
        <v>2000</v>
      </c>
      <c r="B30" s="1">
        <f t="shared" si="0"/>
        <v>452.59</v>
      </c>
    </row>
    <row r="31" spans="1:2" x14ac:dyDescent="0.3">
      <c r="A31" s="1">
        <v>2001</v>
      </c>
      <c r="B31" s="1">
        <f t="shared" si="0"/>
        <v>474.09</v>
      </c>
    </row>
    <row r="32" spans="1:2" x14ac:dyDescent="0.3">
      <c r="A32" s="1">
        <v>2002</v>
      </c>
      <c r="B32" s="1">
        <f t="shared" si="0"/>
        <v>496.61</v>
      </c>
    </row>
    <row r="33" spans="1:2" x14ac:dyDescent="0.3">
      <c r="A33" s="1">
        <v>2003</v>
      </c>
      <c r="B33" s="1">
        <f t="shared" si="0"/>
        <v>520.20000000000005</v>
      </c>
    </row>
    <row r="34" spans="1:2" x14ac:dyDescent="0.3">
      <c r="A34" s="1">
        <v>2004</v>
      </c>
      <c r="B34" s="1">
        <f t="shared" si="0"/>
        <v>544.91</v>
      </c>
    </row>
    <row r="35" spans="1:2" x14ac:dyDescent="0.3">
      <c r="A35" s="1">
        <v>2005</v>
      </c>
      <c r="B35" s="1">
        <f t="shared" si="0"/>
        <v>570.79</v>
      </c>
    </row>
    <row r="36" spans="1:2" x14ac:dyDescent="0.3">
      <c r="A36" s="1">
        <v>2006</v>
      </c>
      <c r="B36" s="1">
        <f t="shared" si="0"/>
        <v>597.9</v>
      </c>
    </row>
    <row r="37" spans="1:2" x14ac:dyDescent="0.3">
      <c r="A37" s="1">
        <v>2007</v>
      </c>
      <c r="B37" s="1">
        <f t="shared" si="0"/>
        <v>626.29999999999995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CFF5-20E0-49D4-8EB0-309C3679229F}">
  <dimension ref="A4:B12"/>
  <sheetViews>
    <sheetView workbookViewId="0">
      <selection activeCell="B13" sqref="B13"/>
    </sheetView>
  </sheetViews>
  <sheetFormatPr defaultRowHeight="14.4" x14ac:dyDescent="0.3"/>
  <cols>
    <col min="1" max="1" width="22.6640625" customWidth="1"/>
    <col min="2" max="2" width="10.33203125" bestFit="1" customWidth="1"/>
  </cols>
  <sheetData>
    <row r="4" spans="1:2" x14ac:dyDescent="0.3">
      <c r="A4" s="5" t="s">
        <v>10</v>
      </c>
      <c r="B4" s="5"/>
    </row>
    <row r="5" spans="1:2" x14ac:dyDescent="0.3">
      <c r="A5" t="s">
        <v>5</v>
      </c>
      <c r="B5" s="2">
        <v>46001</v>
      </c>
    </row>
    <row r="6" spans="1:2" x14ac:dyDescent="0.3">
      <c r="A6" t="s">
        <v>3</v>
      </c>
      <c r="B6" s="7">
        <v>4.1500000000000004</v>
      </c>
    </row>
    <row r="7" spans="1:2" x14ac:dyDescent="0.3">
      <c r="A7" t="s">
        <v>4</v>
      </c>
      <c r="B7" s="7">
        <v>3.3</v>
      </c>
    </row>
    <row r="8" spans="1:2" x14ac:dyDescent="0.3">
      <c r="A8" t="s">
        <v>2</v>
      </c>
      <c r="B8" s="7">
        <v>2.65</v>
      </c>
    </row>
    <row r="9" spans="1:2" x14ac:dyDescent="0.3">
      <c r="A9" t="s">
        <v>6</v>
      </c>
      <c r="B9" s="1">
        <v>0.5</v>
      </c>
    </row>
    <row r="10" spans="1:2" x14ac:dyDescent="0.3">
      <c r="A10" t="s">
        <v>7</v>
      </c>
      <c r="B10" s="4">
        <v>1.1000000000000001</v>
      </c>
    </row>
    <row r="11" spans="1:2" x14ac:dyDescent="0.3">
      <c r="A11" s="6" t="s">
        <v>8</v>
      </c>
      <c r="B11" s="7">
        <f>2*(B6*B8)+2*(B7*B8)+(B6*B7)</f>
        <v>53.18</v>
      </c>
    </row>
    <row r="12" spans="1:2" x14ac:dyDescent="0.3">
      <c r="A12" s="6" t="s">
        <v>9</v>
      </c>
      <c r="B12" s="3">
        <f>B9*B11*B10</f>
        <v>29.249000000000002</v>
      </c>
    </row>
  </sheetData>
  <mergeCells count="1"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14E0-6CCD-4D52-997D-2E78A0E5056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A0B9-B6BD-44A7-B0CD-EF15FCCDF262}">
  <dimension ref="A1:G12"/>
  <sheetViews>
    <sheetView tabSelected="1" workbookViewId="0">
      <selection activeCell="A5" activeCellId="1" sqref="A1:G2 A5:G6"/>
    </sheetView>
  </sheetViews>
  <sheetFormatPr defaultRowHeight="14.4" x14ac:dyDescent="0.3"/>
  <cols>
    <col min="1" max="1" width="9.88671875" customWidth="1"/>
  </cols>
  <sheetData>
    <row r="1" spans="1:7" x14ac:dyDescent="0.3">
      <c r="A1" s="6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</row>
    <row r="2" spans="1:7" x14ac:dyDescent="0.3">
      <c r="A2" s="6" t="s">
        <v>18</v>
      </c>
      <c r="B2" s="1">
        <v>120</v>
      </c>
      <c r="C2" s="1">
        <v>45</v>
      </c>
      <c r="D2" s="1">
        <v>60</v>
      </c>
      <c r="E2" s="1">
        <v>210</v>
      </c>
      <c r="F2" s="1">
        <v>160</v>
      </c>
      <c r="G2" s="1">
        <v>35</v>
      </c>
    </row>
    <row r="3" spans="1:7" x14ac:dyDescent="0.3">
      <c r="A3" s="6" t="s">
        <v>19</v>
      </c>
      <c r="B3" s="10">
        <f>ROUND(((B2/$D$9)*100),2)</f>
        <v>9.68</v>
      </c>
      <c r="C3" s="10">
        <f>ROUND(((C2/$D$9)*100),2)</f>
        <v>3.63</v>
      </c>
      <c r="D3" s="10">
        <f t="shared" ref="D3:G3" si="0">ROUND(((D2/$D$9)*100),2)</f>
        <v>4.84</v>
      </c>
      <c r="E3" s="10">
        <f t="shared" si="0"/>
        <v>16.940000000000001</v>
      </c>
      <c r="F3" s="10">
        <f t="shared" si="0"/>
        <v>12.9</v>
      </c>
      <c r="G3" s="10">
        <f t="shared" si="0"/>
        <v>2.82</v>
      </c>
    </row>
    <row r="5" spans="1:7" x14ac:dyDescent="0.3">
      <c r="A5" s="6" t="s">
        <v>11</v>
      </c>
      <c r="B5" s="9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</row>
    <row r="6" spans="1:7" x14ac:dyDescent="0.3">
      <c r="A6" s="6" t="s">
        <v>18</v>
      </c>
      <c r="B6" s="1">
        <v>20</v>
      </c>
      <c r="C6" s="1">
        <v>80</v>
      </c>
      <c r="D6" s="1">
        <v>100</v>
      </c>
      <c r="E6" s="1">
        <v>120</v>
      </c>
      <c r="F6" s="1">
        <v>90</v>
      </c>
      <c r="G6" s="1">
        <v>200</v>
      </c>
    </row>
    <row r="7" spans="1:7" x14ac:dyDescent="0.3">
      <c r="A7" s="6" t="s">
        <v>19</v>
      </c>
      <c r="B7" s="10">
        <f>ROUND(((B6/$D$9)*100),2)</f>
        <v>1.61</v>
      </c>
      <c r="C7" s="10">
        <f t="shared" ref="C7:G7" si="1">ROUND(((C6/$D$9)*100),2)</f>
        <v>6.45</v>
      </c>
      <c r="D7" s="10">
        <f t="shared" si="1"/>
        <v>8.06</v>
      </c>
      <c r="E7" s="10">
        <f t="shared" si="1"/>
        <v>9.68</v>
      </c>
      <c r="F7" s="10">
        <f t="shared" si="1"/>
        <v>7.26</v>
      </c>
      <c r="G7" s="10">
        <f t="shared" si="1"/>
        <v>16.13</v>
      </c>
    </row>
    <row r="9" spans="1:7" x14ac:dyDescent="0.3">
      <c r="A9" s="8" t="s">
        <v>26</v>
      </c>
      <c r="B9" s="8"/>
      <c r="C9" s="1"/>
      <c r="D9">
        <f>SUM(padavine1,padavine2)</f>
        <v>1240</v>
      </c>
    </row>
    <row r="10" spans="1:7" x14ac:dyDescent="0.3">
      <c r="A10" s="8" t="s">
        <v>27</v>
      </c>
      <c r="B10" s="8"/>
      <c r="C10" s="8"/>
      <c r="D10">
        <f>MAX(padavine1,padavine2)</f>
        <v>210</v>
      </c>
    </row>
    <row r="11" spans="1:7" x14ac:dyDescent="0.3">
      <c r="A11" s="8" t="s">
        <v>28</v>
      </c>
      <c r="B11" s="8"/>
      <c r="C11" s="8"/>
      <c r="D11">
        <f>MIN(padavine1,padavine2)</f>
        <v>20</v>
      </c>
    </row>
    <row r="12" spans="1:7" x14ac:dyDescent="0.3">
      <c r="A12" s="8" t="s">
        <v>29</v>
      </c>
      <c r="B12" s="8"/>
      <c r="C12" s="8"/>
      <c r="D12">
        <f>ROUND((AVERAGE(padavine1,padavine2)),0)</f>
        <v>103</v>
      </c>
    </row>
  </sheetData>
  <mergeCells count="4">
    <mergeCell ref="A9:B9"/>
    <mergeCell ref="A10:C10"/>
    <mergeCell ref="A11:C11"/>
    <mergeCell ref="A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4</vt:i4>
      </vt:variant>
      <vt:variant>
        <vt:lpstr>Imenovani obsegi</vt:lpstr>
      </vt:variant>
      <vt:variant>
        <vt:i4>4</vt:i4>
      </vt:variant>
    </vt:vector>
  </HeadingPairs>
  <TitlesOfParts>
    <vt:vector size="8" baseType="lpstr">
      <vt:lpstr>Obresti</vt:lpstr>
      <vt:lpstr>Barva</vt:lpstr>
      <vt:lpstr>Množenje</vt:lpstr>
      <vt:lpstr>Padavine</vt:lpstr>
      <vt:lpstr>delez1</vt:lpstr>
      <vt:lpstr>delez2</vt:lpstr>
      <vt:lpstr>padavine1</vt:lpstr>
      <vt:lpstr>padavine2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 Rucigaj</dc:creator>
  <cp:lastModifiedBy>miha Rucigaj</cp:lastModifiedBy>
  <dcterms:created xsi:type="dcterms:W3CDTF">2025-12-10T13:49:42Z</dcterms:created>
  <dcterms:modified xsi:type="dcterms:W3CDTF">2025-12-10T15:06:36Z</dcterms:modified>
</cp:coreProperties>
</file>